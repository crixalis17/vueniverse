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ac3d70c41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277995d5bb03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0.0"/>
    <x:numFmt numFmtId="203" formatCode="#,##0"/>
  </x:numFmts>
  <x:fonts count="8">
    <x:font>
      <x:sz val="11"/>
      <x:name val="Carlito"/>
    </x:font>
    <x:font>
      <x:sz val="10"/>
      <x:color rgb="FF1F2937"/>
      <x:name val="Arial"/>
    </x:font>
    <x:font>
      <x:b/>
      <x:sz val="18"/>
      <x:color rgb="FFFFFFFF"/>
      <x:name val="Arial"/>
    </x:font>
    <x:font>
      <x:i/>
      <x:sz val="10"/>
      <x:color rgb="FF334155"/>
      <x:name val="Arial"/>
    </x:font>
    <x:font>
      <x:b/>
      <x:sz val="11"/>
      <x:color rgb="FFFFFFFF"/>
      <x:name val="Arial"/>
    </x:font>
    <x:font>
      <x:b/>
      <x:sz val="11"/>
      <x:color rgb="FF16324F"/>
      <x:name val="Arial"/>
    </x:font>
    <x:font>
      <x:b/>
      <x:sz val="11"/>
      <x:name val="Arial"/>
    </x:font>
    <x:font>
      <x:i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3" borderId="0" xfId="0" applyNumberFormat="1" applyFont="1" applyFill="1" applyBorder="1"/>
    <x:xf numFmtId="203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e0dadc1dd4ea5" /><Relationship Type="http://schemas.openxmlformats.org/officeDocument/2006/relationships/theme" Target="/xl/theme/theme1.xml" Id="R220bc5f7134c4c1e" /><Relationship Type="http://schemas.openxmlformats.org/officeDocument/2006/relationships/sharedStrings" Target="/xl/sharedStrings.xml" Id="R0f54740c84bb4bfb" /><Relationship Type="http://schemas.openxmlformats.org/officeDocument/2006/relationships/worksheet" Target="/xl/worksheets/sheet1.xml" Id="R277995d5bb0341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8093ca850847f3" /><Relationship Type="http://schemas.openxmlformats.org/officeDocument/2006/relationships/chart" Target="/xl/drawings/charts/chart2.xml" Id="R3f30309dcb3e44d8" /><Relationship Type="http://schemas.openxmlformats.org/officeDocument/2006/relationships/chart" Target="/xl/drawings/charts/chart3.xml" Id="R45bac71a7c484509" /><Relationship Type="http://schemas.openxmlformats.org/officeDocument/2006/relationships/chart" Target="/xl/drawings/charts/chart4.xml" Id="Rb4a09b742d114499" /><Relationship Type="http://schemas.openxmlformats.org/officeDocument/2006/relationships/chart" Target="/xl/drawings/charts/chart5.xml" Id="Rbe907440acc54eac" /><Relationship Type="http://schemas.openxmlformats.org/officeDocument/2006/relationships/chart" Target="/xl/drawings/charts/chart6.xml" Id="R990649f7bc4a4aae" /><Relationship Type="http://schemas.openxmlformats.org/officeDocument/2006/relationships/chart" Target="/xl/drawings/charts/chart7.xml" Id="R05b437b483484178" /><Relationship Type="http://schemas.openxmlformats.org/officeDocument/2006/relationships/chart" Target="/xl/drawings/charts/chart8.xml" Id="Rd98550472b2c475b" /><Relationship Type="http://schemas.openxmlformats.org/officeDocument/2006/relationships/chart" Target="/xl/drawings/charts/chart9.xml" Id="Rda318f73533145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A. Manual semantic verdicts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Pass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'Benchmark'!$A$6:$A$8</c:f>
              <c:strCache>
                <c:ptCount val="0"/>
              </c:strCache>
            </c:strRef>
          </c:cat>
          <c:val>
            <c:numRef>
              <c:f>'Benchmark'!$B$6:$B$8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Needs review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'Benchmark'!$A$6:$A$8</c:f>
              <c:strCache>
                <c:ptCount val="0"/>
              </c:strCache>
            </c:strRef>
          </c:cat>
          <c:val>
            <c:numRef>
              <c:f>'Benchmark'!$C$6:$C$8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Fail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'Benchmark'!$A$6:$A$8</c:f>
              <c:strCache>
                <c:ptCount val="0"/>
              </c:strCache>
            </c:strRef>
          </c:cat>
          <c:val>
            <c:numRef>
              <c:f>'Benchmark'!$D$6:$D$8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B. Weighted useful score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Weighted useful (%)</c:v>
          </c:tx>
          <c:spPr>
            <a:solidFill xmlns:a="http://schemas.openxmlformats.org/drawingml/2006/main">
              <a:srgbClr val="2E8B57"/>
            </a:solidFill>
          </c:spPr>
          <c:cat>
            <c:strRef>
              <c:f>'Benchmark'!$J$6:$J$8</c:f>
              <c:strCache>
                <c:ptCount val="0"/>
              </c:strCache>
            </c:strRef>
          </c:cat>
          <c:val>
            <c:numRef>
              <c:f>'Benchmark'!$K$6:$K$8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C. Strict passes by evidence state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Vanilla pass</c:v>
          </c:tx>
          <c:spPr>
            <a:solidFill xmlns:a="http://schemas.openxmlformats.org/drawingml/2006/main">
              <a:srgbClr val="94A3B8"/>
            </a:solidFill>
          </c:spPr>
          <c:cat>
            <c:strRef>
              <c:f>'Benchmark'!$A$33:$A$37</c:f>
              <c:strCache>
                <c:ptCount val="0"/>
              </c:strCache>
            </c:strRef>
          </c:cat>
          <c:val>
            <c:numRef>
              <c:f>'Benchmark'!$B$33:$B$37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QLoRA pass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'Benchmark'!$A$33:$A$37</c:f>
              <c:strCache>
                <c:ptCount val="0"/>
              </c:strCache>
            </c:strRef>
          </c:cat>
          <c:val>
            <c:numRef>
              <c:f>'Benchmark'!$E$33:$E$37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LoRA pass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'Benchmark'!$A$33:$A$37</c:f>
              <c:strCache>
                <c:ptCount val="0"/>
              </c:strCache>
            </c:strRef>
          </c:cat>
          <c:val>
            <c:numRef>
              <c:f>'Benchmark'!$H$33:$H$37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D. Strict passes by analytical intent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Vanilla pass</c:v>
          </c:tx>
          <c:spPr>
            <a:solidFill xmlns:a="http://schemas.openxmlformats.org/drawingml/2006/main">
              <a:srgbClr val="94A3B8"/>
            </a:solidFill>
          </c:spPr>
          <c:cat>
            <c:strRef>
              <c:f>'Benchmark'!$A$53:$A$58</c:f>
              <c:strCache>
                <c:ptCount val="0"/>
              </c:strCache>
            </c:strRef>
          </c:cat>
          <c:val>
            <c:numRef>
              <c:f>'Benchmark'!$B$53:$B$58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QLoRA pass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'Benchmark'!$A$53:$A$58</c:f>
              <c:strCache>
                <c:ptCount val="0"/>
              </c:strCache>
            </c:strRef>
          </c:cat>
          <c:val>
            <c:numRef>
              <c:f>'Benchmark'!$E$53:$E$58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LoRA pass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'Benchmark'!$A$53:$A$58</c:f>
              <c:strCache>
                <c:ptCount val="0"/>
              </c:strCache>
            </c:strRef>
          </c:cat>
          <c:val>
            <c:numRef>
              <c:f>'Benchmark'!$H$53:$H$58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E. Generation time (seconds/case)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Avg sec/case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'Benchmark'!$J$74:$J$76</c:f>
              <c:strCache>
                <c:ptCount val="0"/>
              </c:strCache>
            </c:strRef>
          </c:cat>
          <c:val>
            <c:numRef>
              <c:f>'Benchmark'!$K$74:$K$76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F. Evaluation peak GPU memory (GB)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Eval peak GPU GB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'Benchmark'!$J$74:$J$76</c:f>
              <c:strCache>
                <c:ptCount val="0"/>
              </c:strCache>
            </c:strRef>
          </c:cat>
          <c:val>
            <c:numRef>
              <c:f>'Benchmark'!$L$74:$L$76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G. Manual review of 17-case safety suite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Pass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'Benchmark'!$J$100:$J$101</c:f>
              <c:strCache>
                <c:ptCount val="0"/>
              </c:strCache>
            </c:strRef>
          </c:cat>
          <c:val>
            <c:numRef>
              <c:f>'Benchmark'!$K$100:$K$101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Needs review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'Benchmark'!$J$100:$J$101</c:f>
              <c:strCache>
                <c:ptCount val="0"/>
              </c:strCache>
            </c:strRef>
          </c:cat>
          <c:val>
            <c:numRef>
              <c:f>'Benchmark'!$L$100:$L$101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Fail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'Benchmark'!$J$100:$J$101</c:f>
              <c:strCache>
                <c:ptCount val="0"/>
              </c:strCache>
            </c:strRef>
          </c:cat>
          <c:val>
            <c:numRef>
              <c:f>'Benchmark'!$M$100:$M$101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H. Non-pass error categories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Hard guard</c:v>
          </c:tx>
          <c:spPr>
            <a:solidFill xmlns:a="http://schemas.openxmlformats.org/drawingml/2006/main">
              <a:srgbClr val="7F1D1D"/>
            </a:solidFill>
          </c:spPr>
          <c:cat>
            <c:strRef>
              <c:f>'Benchmark'!$A$133:$A$135</c:f>
              <c:strCache>
                <c:ptCount val="0"/>
              </c:strCache>
            </c:strRef>
          </c:cat>
          <c:val>
            <c:numRef>
              <c:f>'Benchmark'!$B$133:$B$135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Finding state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'Benchmark'!$A$133:$A$135</c:f>
              <c:strCache>
                <c:ptCount val="0"/>
              </c:strCache>
            </c:strRef>
          </c:cat>
          <c:val>
            <c:numRef>
              <c:f>'Benchmark'!$C$133:$C$135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Incomplete wording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'Benchmark'!$A$133:$A$135</c:f>
              <c:strCache>
                <c:ptCount val="0"/>
              </c:strCache>
            </c:strRef>
          </c:cat>
          <c:val>
            <c:numRef>
              <c:f>'Benchmark'!$D$133:$D$135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Other semantic</c:v>
          </c:tx>
          <c:spPr>
            <a:solidFill xmlns:a="http://schemas.openxmlformats.org/drawingml/2006/main">
              <a:srgbClr val="64748B"/>
            </a:solidFill>
          </c:spPr>
          <c:cat>
            <c:strRef>
              <c:f>'Benchmark'!$A$133:$A$135</c:f>
              <c:strCache>
                <c:ptCount val="0"/>
              </c:strCache>
            </c:strRef>
          </c:cat>
          <c:val>
            <c:numRef>
              <c:f>'Benchmark'!$E$133:$E$135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I. Weighted useful score by canonical context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Vanilla (%)</c:v>
          </c:tx>
          <c:spPr>
            <a:solidFill xmlns:a="http://schemas.openxmlformats.org/drawingml/2006/main">
              <a:srgbClr val="94A3B8"/>
            </a:solidFill>
          </c:spPr>
          <c:cat>
            <c:strRef>
              <c:f>'Benchmark'!$A$153:$A$159</c:f>
              <c:strCache>
                <c:ptCount val="0"/>
              </c:strCache>
            </c:strRef>
          </c:cat>
          <c:val>
            <c:numRef>
              <c:f>'Benchmark'!$B$153:$B$159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QLoRA (%)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'Benchmark'!$A$153:$A$159</c:f>
              <c:strCache>
                <c:ptCount val="0"/>
              </c:strCache>
            </c:strRef>
          </c:cat>
          <c:val>
            <c:numRef>
              <c:f>'Benchmark'!$C$153:$C$159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LoRA (%)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'Benchmark'!$A$153:$A$159</c:f>
              <c:strCache>
                <c:ptCount val="0"/>
              </c:strCache>
            </c:strRef>
          </c:cat>
          <c:val>
            <c:numRef>
              <c:f>'Benchmark'!$D$153:$D$159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8093ca850847f3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30309dcb3e44d8"/>
        </a:graphicData>
      </a:graphic>
    </xdr:graphicFrame>
    <xdr:clientData/>
  </xdr:twoCellAnchor>
  <xdr:twoCellAnchor>
    <xdr:from>
      <xdr:col>10</xdr:col>
      <xdr:colOff>0</xdr:colOff>
      <xdr:row>31</xdr:row>
      <xdr:rowOff>0</xdr:rowOff>
    </xdr:from>
    <xdr:to>
      <xdr:col>20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bac71a7c484509"/>
        </a:graphicData>
      </a:graphic>
    </xdr:graphicFrame>
    <xdr:clientData/>
  </xdr:twoCellAnchor>
  <xdr:twoCellAnchor>
    <xdr:from>
      <xdr:col>10</xdr:col>
      <xdr:colOff>0</xdr:colOff>
      <xdr:row>51</xdr:row>
      <xdr:rowOff>0</xdr:rowOff>
    </xdr:from>
    <xdr:to>
      <xdr:col>20</xdr:col>
      <xdr:colOff>0</xdr:colOff>
      <xdr:row>70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a09b742d114499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10</xdr:col>
      <xdr:colOff>0</xdr:colOff>
      <xdr:row>96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907440acc54eac"/>
        </a:graphicData>
      </a:graphic>
    </xdr:graphicFrame>
    <xdr:clientData/>
  </xdr:twoCellAnchor>
  <xdr:twoCellAnchor>
    <xdr:from>
      <xdr:col>10</xdr:col>
      <xdr:colOff>0</xdr:colOff>
      <xdr:row>79</xdr:row>
      <xdr:rowOff>0</xdr:rowOff>
    </xdr:from>
    <xdr:to>
      <xdr:col>20</xdr:col>
      <xdr:colOff>0</xdr:colOff>
      <xdr:row>96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0649f7bc4a4aae"/>
        </a:graphicData>
      </a:graphic>
    </xdr:graphicFrame>
    <xdr:clientData/>
  </xdr:twoCellAnchor>
  <xdr:twoCellAnchor>
    <xdr:from>
      <xdr:col>0</xdr:col>
      <xdr:colOff>0</xdr:colOff>
      <xdr:row>104</xdr:row>
      <xdr:rowOff>0</xdr:rowOff>
    </xdr:from>
    <xdr:to>
      <xdr:col>20</xdr:col>
      <xdr:colOff>0</xdr:colOff>
      <xdr:row>120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b437b483484178"/>
        </a:graphicData>
      </a:graphic>
    </xdr:graphicFrame>
    <xdr:clientData/>
  </xdr:twoCellAnchor>
  <xdr:twoCellAnchor>
    <xdr:from>
      <xdr:col>7</xdr:col>
      <xdr:colOff>0</xdr:colOff>
      <xdr:row>131</xdr:row>
      <xdr:rowOff>0</xdr:rowOff>
    </xdr:from>
    <xdr:to>
      <xdr:col>20</xdr:col>
      <xdr:colOff>0</xdr:colOff>
      <xdr:row>149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8550472b2c475b"/>
        </a:graphicData>
      </a:graphic>
    </xdr:graphicFrame>
    <xdr:clientData/>
  </xdr:twoCellAnchor>
  <xdr:twoCellAnchor>
    <xdr:from>
      <xdr:col>4</xdr:col>
      <xdr:colOff>0</xdr:colOff>
      <xdr:row>151</xdr:row>
      <xdr:rowOff>0</xdr:rowOff>
    </xdr:from>
    <xdr:to>
      <xdr:col>20</xdr:col>
      <xdr:colOff>0</xdr:colOff>
      <xdr:row>171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318f73533145b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b29552d1b94aa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4" t="str">
        <x:v>MedGemma v7-r2 benchmark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>
      <x:c r="A3" s="20" t="str">
        <x:v>Vanilla BF16 vs QLoRA NF4 vs LoRA BF16 · 210 frozen test cases per model · action-neutral manual review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>
      <x:c r="A5" s="22" t="str">
        <x:v>Model</x:v>
      </x:c>
      <x:c r="B5" s="22" t="str">
        <x:v>Pass</x:v>
      </x:c>
      <x:c r="C5" s="22" t="str">
        <x:v>Needs review</x:v>
      </x:c>
      <x:c r="D5" s="22" t="str">
        <x:v>Fail</x:v>
      </x:c>
      <x:c r="E5" s="22" t="str">
        <x:v>Weighted useful</x:v>
      </x:c>
      <x:c r="F5" s="22" t="str">
        <x:v>Guard accepted</x:v>
      </x:c>
      <x:c r="G5" s="22" t="str">
        <x:v>Fallbacks</x:v>
      </x:c>
      <x:c r="H5" s="22" t="str">
        <x:v>Avg sec/case</x:v>
      </x:c>
      <x:c r="I5" s="21"/>
      <x:c r="J5" s="22" t="str">
        <x:v>Model</x:v>
      </x:c>
      <x:c r="K5" s="22" t="str">
        <x:v>Weighted useful (%)</x:v>
      </x:c>
      <x:c r="L5" s="21"/>
      <x:c r="M5" s="21"/>
      <x:c r="N5" s="21"/>
      <x:c r="O5" s="21"/>
      <x:c r="P5" s="21"/>
      <x:c r="Q5" s="21"/>
      <x:c r="R5" s="21"/>
      <x:c r="S5" s="21"/>
      <x:c r="T5" s="21"/>
    </x:row>
    <x:row r="6">
      <x:c r="A6" s="21" t="str">
        <x:v>Vanilla BF16</x:v>
      </x:c>
      <x:c r="B6" s="21" t="n">
        <x:v>3</x:v>
      </x:c>
      <x:c r="C6" s="21" t="n">
        <x:v>170</x:v>
      </x:c>
      <x:c r="D6" s="21" t="n">
        <x:v>37</x:v>
      </x:c>
      <x:c r="E6" s="23" t="n">
        <x:v>0.41904761904761906</x:v>
      </x:c>
      <x:c r="F6" s="21" t="n">
        <x:v>173</x:v>
      </x:c>
      <x:c r="G6" s="21" t="n">
        <x:v>37</x:v>
      </x:c>
      <x:c r="H6" s="24" t="n">
        <x:v>7.392904761904763</x:v>
      </x:c>
      <x:c r="I6" s="21"/>
      <x:c r="J6" s="21" t="str">
        <x:v>Vanilla BF16</x:v>
      </x:c>
      <x:c r="K6" s="25" t="n">
        <x:v>41.904761904761905</x:v>
      </x:c>
      <x:c r="L6" s="21"/>
      <x:c r="M6" s="21"/>
      <x:c r="N6" s="21"/>
      <x:c r="O6" s="21"/>
      <x:c r="P6" s="21"/>
      <x:c r="Q6" s="21"/>
      <x:c r="R6" s="21"/>
      <x:c r="S6" s="21"/>
      <x:c r="T6" s="21"/>
    </x:row>
    <x:row r="7">
      <x:c r="A7" s="21" t="str">
        <x:v>QLoRA NF4</x:v>
      </x:c>
      <x:c r="B7" s="21" t="n">
        <x:v>137</x:v>
      </x:c>
      <x:c r="C7" s="21" t="n">
        <x:v>41</x:v>
      </x:c>
      <x:c r="D7" s="21" t="n">
        <x:v>32</x:v>
      </x:c>
      <x:c r="E7" s="23" t="n">
        <x:v>0.75</x:v>
      </x:c>
      <x:c r="F7" s="21" t="n">
        <x:v>203</x:v>
      </x:c>
      <x:c r="G7" s="21" t="n">
        <x:v>7</x:v>
      </x:c>
      <x:c r="H7" s="24" t="n">
        <x:v>20.068985714285706</x:v>
      </x:c>
      <x:c r="I7" s="21"/>
      <x:c r="J7" s="21" t="str">
        <x:v>QLoRA NF4</x:v>
      </x:c>
      <x:c r="K7" s="25" t="n">
        <x:v>75</x:v>
      </x:c>
      <x:c r="L7" s="21"/>
      <x:c r="M7" s="21"/>
      <x:c r="N7" s="21"/>
      <x:c r="O7" s="21"/>
      <x:c r="P7" s="21"/>
      <x:c r="Q7" s="21"/>
      <x:c r="R7" s="21"/>
      <x:c r="S7" s="21"/>
      <x:c r="T7" s="21"/>
    </x:row>
    <x:row r="8">
      <x:c r="A8" s="21" t="str">
        <x:v>LoRA BF16</x:v>
      </x:c>
      <x:c r="B8" s="21" t="n">
        <x:v>129</x:v>
      </x:c>
      <x:c r="C8" s="21" t="n">
        <x:v>65</x:v>
      </x:c>
      <x:c r="D8" s="21" t="n">
        <x:v>16</x:v>
      </x:c>
      <x:c r="E8" s="23" t="n">
        <x:v>0.7690476190476191</x:v>
      </x:c>
      <x:c r="F8" s="21" t="n">
        <x:v>203</x:v>
      </x:c>
      <x:c r="G8" s="21" t="n">
        <x:v>7</x:v>
      </x:c>
      <x:c r="H8" s="24" t="n">
        <x:v>15.503547619047616</x:v>
      </x:c>
      <x:c r="I8" s="21"/>
      <x:c r="J8" s="21" t="str">
        <x:v>LoRA BF16</x:v>
      </x:c>
      <x:c r="K8" s="25" t="n">
        <x:v>76.90476190476191</x:v>
      </x:c>
      <x:c r="L8" s="21"/>
      <x:c r="M8" s="21"/>
      <x:c r="N8" s="21"/>
      <x:c r="O8" s="21"/>
      <x:c r="P8" s="21"/>
      <x:c r="Q8" s="21"/>
      <x:c r="R8" s="21"/>
      <x:c r="S8" s="21"/>
      <x:c r="T8" s="21"/>
    </x:row>
    <x:row r="9">
      <x:c r="A9" s="26" t="str">
        <x:v>Decision</x:v>
      </x:c>
      <x:c r="B9" s="26" t="str">
        <x:v>LoRA</x:v>
      </x:c>
      <x:c r="C9" s="26" t="str">
        <x:v>Best balanced</x:v>
      </x:c>
      <x:c r="D9" s="26" t="str">
        <x:v>16 failures</x:v>
      </x:c>
      <x:c r="E9" s="26" t="str">
        <x:v>76.9%</x:v>
      </x:c>
      <x:c r="F9" s="26" t="str">
        <x:v>203/210</x:v>
      </x:c>
      <x:c r="G9" s="26" t="str">
        <x:v>7</x:v>
      </x:c>
      <x:c r="H9" s="26" t="str">
        <x:v>15.50</x:v>
      </x:c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</x:row>
    <x:row r="32">
      <x:c r="A32" s="22" t="str">
        <x:v>Finding state</x:v>
      </x:c>
      <x:c r="B32" s="22" t="str">
        <x:v>Vanilla pass</x:v>
      </x:c>
      <x:c r="C32" s="22" t="str">
        <x:v>Vanilla review</x:v>
      </x:c>
      <x:c r="D32" s="22" t="str">
        <x:v>Vanilla fail</x:v>
      </x:c>
      <x:c r="E32" s="22" t="str">
        <x:v>QLoRA pass</x:v>
      </x:c>
      <x:c r="F32" s="22" t="str">
        <x:v>QLoRA review</x:v>
      </x:c>
      <x:c r="G32" s="22" t="str">
        <x:v>QLoRA fail</x:v>
      </x:c>
      <x:c r="H32" s="22" t="str">
        <x:v>LoRA pass</x:v>
      </x:c>
      <x:c r="I32" s="22" t="str">
        <x:v>LoRA review</x:v>
      </x:c>
      <x:c r="J32" s="22" t="str">
        <x:v>LoRA fail</x:v>
      </x:c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</x:row>
    <x:row r="33">
      <x:c r="A33" s="21" t="str">
        <x:v>contradictory</x:v>
      </x:c>
      <x:c r="B33" s="21" t="n">
        <x:v>0</x:v>
      </x:c>
      <x:c r="C33" s="21" t="n">
        <x:v>37</x:v>
      </x:c>
      <x:c r="D33" s="21" t="n">
        <x:v>5</x:v>
      </x:c>
      <x:c r="E33" s="21" t="n">
        <x:v>42</x:v>
      </x:c>
      <x:c r="F33" s="21" t="n">
        <x:v>0</x:v>
      </x:c>
      <x:c r="G33" s="21" t="n">
        <x:v>0</x:v>
      </x:c>
      <x:c r="H33" s="21" t="n">
        <x:v>32</x:v>
      </x:c>
      <x:c r="I33" s="21" t="n">
        <x:v>8</x:v>
      </x:c>
      <x:c r="J33" s="21" t="n">
        <x:v>2</x:v>
      </x:c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</x:row>
    <x:row r="34">
      <x:c r="A34" s="21" t="str">
        <x:v>developing</x:v>
      </x:c>
      <x:c r="B34" s="21" t="n">
        <x:v>0</x:v>
      </x:c>
      <x:c r="C34" s="21" t="n">
        <x:v>38</x:v>
      </x:c>
      <x:c r="D34" s="21" t="n">
        <x:v>4</x:v>
      </x:c>
      <x:c r="E34" s="21" t="n">
        <x:v>17</x:v>
      </x:c>
      <x:c r="F34" s="21" t="n">
        <x:v>24</x:v>
      </x:c>
      <x:c r="G34" s="21" t="n">
        <x:v>1</x:v>
      </x:c>
      <x:c r="H34" s="21" t="n">
        <x:v>13</x:v>
      </x:c>
      <x:c r="I34" s="21" t="n">
        <x:v>29</x:v>
      </x:c>
      <x:c r="J34" s="21" t="n">
        <x:v>0</x:v>
      </x:c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</x:row>
    <x:row r="35">
      <x:c r="A35" s="21" t="str">
        <x:v>insufficient_data</x:v>
      </x:c>
      <x:c r="B35" s="21" t="n">
        <x:v>0</x:v>
      </x:c>
      <x:c r="C35" s="21" t="n">
        <x:v>23</x:v>
      </x:c>
      <x:c r="D35" s="21" t="n">
        <x:v>19</x:v>
      </x:c>
      <x:c r="E35" s="21" t="n">
        <x:v>42</x:v>
      </x:c>
      <x:c r="F35" s="21" t="n">
        <x:v>0</x:v>
      </x:c>
      <x:c r="G35" s="21" t="n">
        <x:v>0</x:v>
      </x:c>
      <x:c r="H35" s="21" t="n">
        <x:v>42</x:v>
      </x:c>
      <x:c r="I35" s="21" t="n">
        <x:v>0</x:v>
      </x:c>
      <x:c r="J35" s="21" t="n">
        <x:v>0</x:v>
      </x:c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</x:row>
    <x:row r="36">
      <x:c r="A36" s="21" t="str">
        <x:v>null</x:v>
      </x:c>
      <x:c r="B36" s="21" t="n">
        <x:v>0</x:v>
      </x:c>
      <x:c r="C36" s="21" t="n">
        <x:v>34</x:v>
      </x:c>
      <x:c r="D36" s="21" t="n">
        <x:v>8</x:v>
      </x:c>
      <x:c r="E36" s="21" t="n">
        <x:v>20</x:v>
      </x:c>
      <x:c r="F36" s="21" t="n">
        <x:v>17</x:v>
      </x:c>
      <x:c r="G36" s="21" t="n">
        <x:v>5</x:v>
      </x:c>
      <x:c r="H36" s="21" t="n">
        <x:v>17</x:v>
      </x:c>
      <x:c r="I36" s="21" t="n">
        <x:v>22</x:v>
      </x:c>
      <x:c r="J36" s="21" t="n">
        <x:v>3</x:v>
      </x:c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</x:row>
    <x:row r="37">
      <x:c r="A37" s="21" t="str">
        <x:v>supported</x:v>
      </x:c>
      <x:c r="B37" s="21" t="n">
        <x:v>3</x:v>
      </x:c>
      <x:c r="C37" s="21" t="n">
        <x:v>38</x:v>
      </x:c>
      <x:c r="D37" s="21" t="n">
        <x:v>1</x:v>
      </x:c>
      <x:c r="E37" s="21" t="n">
        <x:v>16</x:v>
      </x:c>
      <x:c r="F37" s="21" t="n">
        <x:v>0</x:v>
      </x:c>
      <x:c r="G37" s="21" t="n">
        <x:v>26</x:v>
      </x:c>
      <x:c r="H37" s="21" t="n">
        <x:v>25</x:v>
      </x:c>
      <x:c r="I37" s="21" t="n">
        <x:v>6</x:v>
      </x:c>
      <x:c r="J37" s="21" t="n">
        <x:v>11</x:v>
      </x:c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</x:row>
    <x:row r="38">
      <x:c r="A38" s="27" t="str">
        <x:v>Total</x:v>
      </x:c>
      <x:c r="B38" s="27" t="n">
        <x:v>3</x:v>
      </x:c>
      <x:c r="C38" s="27" t="n">
        <x:v>170</x:v>
      </x:c>
      <x:c r="D38" s="27" t="n">
        <x:v>37</x:v>
      </x:c>
      <x:c r="E38" s="27" t="n">
        <x:v>137</x:v>
      </x:c>
      <x:c r="F38" s="27" t="n">
        <x:v>41</x:v>
      </x:c>
      <x:c r="G38" s="27" t="n">
        <x:v>32</x:v>
      </x:c>
      <x:c r="H38" s="27" t="n">
        <x:v>129</x:v>
      </x:c>
      <x:c r="I38" s="27" t="n">
        <x:v>65</x:v>
      </x:c>
      <x:c r="J38" s="27" t="n">
        <x:v>16</x:v>
      </x:c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</x:row>
    <x:row r="52">
      <x:c r="A52" s="22" t="str">
        <x:v>Ask intent</x:v>
      </x:c>
      <x:c r="B52" s="22" t="str">
        <x:v>Vanilla pass</x:v>
      </x:c>
      <x:c r="C52" s="22" t="str">
        <x:v>Vanilla review</x:v>
      </x:c>
      <x:c r="D52" s="22" t="str">
        <x:v>Vanilla fail</x:v>
      </x:c>
      <x:c r="E52" s="22" t="str">
        <x:v>QLoRA pass</x:v>
      </x:c>
      <x:c r="F52" s="22" t="str">
        <x:v>QLoRA review</x:v>
      </x:c>
      <x:c r="G52" s="22" t="str">
        <x:v>QLoRA fail</x:v>
      </x:c>
      <x:c r="H52" s="22" t="str">
        <x:v>LoRA pass</x:v>
      </x:c>
      <x:c r="I52" s="22" t="str">
        <x:v>LoRA review</x:v>
      </x:c>
      <x:c r="J52" s="22" t="str">
        <x:v>LoRA fail</x:v>
      </x:c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</x:row>
    <x:row r="53">
      <x:c r="A53" s="21" t="str">
        <x:v>explain</x:v>
      </x:c>
      <x:c r="B53" s="21" t="n">
        <x:v>0</x:v>
      </x:c>
      <x:c r="C53" s="21" t="n">
        <x:v>25</x:v>
      </x:c>
      <x:c r="D53" s="21" t="n">
        <x:v>10</x:v>
      </x:c>
      <x:c r="E53" s="21" t="n">
        <x:v>22</x:v>
      </x:c>
      <x:c r="F53" s="21" t="n">
        <x:v>9</x:v>
      </x:c>
      <x:c r="G53" s="21" t="n">
        <x:v>4</x:v>
      </x:c>
      <x:c r="H53" s="21" t="n">
        <x:v>21</x:v>
      </x:c>
      <x:c r="I53" s="21" t="n">
        <x:v>12</x:v>
      </x:c>
      <x:c r="J53" s="21" t="n">
        <x:v>2</x:v>
      </x:c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</x:row>
    <x:row r="54">
      <x:c r="A54" s="21" t="str">
        <x:v>what_weakens</x:v>
      </x:c>
      <x:c r="B54" s="21" t="n">
        <x:v>0</x:v>
      </x:c>
      <x:c r="C54" s="21" t="n">
        <x:v>30</x:v>
      </x:c>
      <x:c r="D54" s="21" t="n">
        <x:v>5</x:v>
      </x:c>
      <x:c r="E54" s="21" t="n">
        <x:v>19</x:v>
      </x:c>
      <x:c r="F54" s="21" t="n">
        <x:v>9</x:v>
      </x:c>
      <x:c r="G54" s="21" t="n">
        <x:v>7</x:v>
      </x:c>
      <x:c r="H54" s="21" t="n">
        <x:v>22</x:v>
      </x:c>
      <x:c r="I54" s="21" t="n">
        <x:v>10</x:v>
      </x:c>
      <x:c r="J54" s="21" t="n">
        <x:v>3</x:v>
      </x:c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</x:row>
    <x:row r="55">
      <x:c r="A55" s="21" t="str">
        <x:v>what_is_missing</x:v>
      </x:c>
      <x:c r="B55" s="21" t="n">
        <x:v>1</x:v>
      </x:c>
      <x:c r="C55" s="21" t="n">
        <x:v>29</x:v>
      </x:c>
      <x:c r="D55" s="21" t="n">
        <x:v>5</x:v>
      </x:c>
      <x:c r="E55" s="21" t="n">
        <x:v>24</x:v>
      </x:c>
      <x:c r="F55" s="21" t="n">
        <x:v>6</x:v>
      </x:c>
      <x:c r="G55" s="21" t="n">
        <x:v>5</x:v>
      </x:c>
      <x:c r="H55" s="21" t="n">
        <x:v>20</x:v>
      </x:c>
      <x:c r="I55" s="21" t="n">
        <x:v>9</x:v>
      </x:c>
      <x:c r="J55" s="21" t="n">
        <x:v>6</x:v>
      </x:c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</x:row>
    <x:row r="56">
      <x:c r="A56" s="21" t="str">
        <x:v>what_disagrees</x:v>
      </x:c>
      <x:c r="B56" s="21" t="n">
        <x:v>1</x:v>
      </x:c>
      <x:c r="C56" s="21" t="n">
        <x:v>31</x:v>
      </x:c>
      <x:c r="D56" s="21" t="n">
        <x:v>3</x:v>
      </x:c>
      <x:c r="E56" s="21" t="n">
        <x:v>21</x:v>
      </x:c>
      <x:c r="F56" s="21" t="n">
        <x:v>7</x:v>
      </x:c>
      <x:c r="G56" s="21" t="n">
        <x:v>7</x:v>
      </x:c>
      <x:c r="H56" s="21" t="n">
        <x:v>21</x:v>
      </x:c>
      <x:c r="I56" s="21" t="n">
        <x:v>11</x:v>
      </x:c>
      <x:c r="J56" s="21" t="n">
        <x:v>3</x:v>
      </x:c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</x:row>
    <x:row r="57">
      <x:c r="A57" s="21" t="str">
        <x:v>observe_next</x:v>
      </x:c>
      <x:c r="B57" s="21" t="n">
        <x:v>1</x:v>
      </x:c>
      <x:c r="C57" s="21" t="n">
        <x:v>24</x:v>
      </x:c>
      <x:c r="D57" s="21" t="n">
        <x:v>10</x:v>
      </x:c>
      <x:c r="E57" s="21" t="n">
        <x:v>30</x:v>
      </x:c>
      <x:c r="F57" s="21" t="n">
        <x:v>3</x:v>
      </x:c>
      <x:c r="G57" s="21" t="n">
        <x:v>2</x:v>
      </x:c>
      <x:c r="H57" s="21" t="n">
        <x:v>19</x:v>
      </x:c>
      <x:c r="I57" s="21" t="n">
        <x:v>15</x:v>
      </x:c>
      <x:c r="J57" s="21" t="n">
        <x:v>1</x:v>
      </x:c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</x:row>
    <x:row r="58">
      <x:c r="A58" s="21" t="str">
        <x:v>promotion_gate</x:v>
      </x:c>
      <x:c r="B58" s="21" t="n">
        <x:v>0</x:v>
      </x:c>
      <x:c r="C58" s="21" t="n">
        <x:v>31</x:v>
      </x:c>
      <x:c r="D58" s="21" t="n">
        <x:v>4</x:v>
      </x:c>
      <x:c r="E58" s="21" t="n">
        <x:v>21</x:v>
      </x:c>
      <x:c r="F58" s="21" t="n">
        <x:v>7</x:v>
      </x:c>
      <x:c r="G58" s="21" t="n">
        <x:v>7</x:v>
      </x:c>
      <x:c r="H58" s="21" t="n">
        <x:v>26</x:v>
      </x:c>
      <x:c r="I58" s="21" t="n">
        <x:v>8</x:v>
      </x:c>
      <x:c r="J58" s="21" t="n">
        <x:v>1</x:v>
      </x:c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</x:row>
    <x:row r="59">
      <x:c r="A59" s="27" t="str">
        <x:v>Total</x:v>
      </x:c>
      <x:c r="B59" s="27" t="n">
        <x:v>3</x:v>
      </x:c>
      <x:c r="C59" s="27" t="n">
        <x:v>170</x:v>
      </x:c>
      <x:c r="D59" s="27" t="n">
        <x:v>37</x:v>
      </x:c>
      <x:c r="E59" s="27" t="n">
        <x:v>137</x:v>
      </x:c>
      <x:c r="F59" s="27" t="n">
        <x:v>41</x:v>
      </x:c>
      <x:c r="G59" s="27" t="n">
        <x:v>32</x:v>
      </x:c>
      <x:c r="H59" s="27" t="n">
        <x:v>129</x:v>
      </x:c>
      <x:c r="I59" s="27" t="n">
        <x:v>65</x:v>
      </x:c>
      <x:c r="J59" s="27" t="n">
        <x:v>16</x:v>
      </x:c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</x:row>
    <x:row r="73">
      <x:c r="A73" s="22" t="str">
        <x:v>Model</x:v>
      </x:c>
      <x:c r="B73" s="22" t="str">
        <x:v>Training format</x:v>
      </x:c>
      <x:c r="C73" s="22" t="str">
        <x:v>Trainable params</x:v>
      </x:c>
      <x:c r="D73" s="22" t="str">
        <x:v>Validation loss</x:v>
      </x:c>
      <x:c r="E73" s="22" t="str">
        <x:v>Train peak GPU GB</x:v>
      </x:c>
      <x:c r="F73" s="22" t="str">
        <x:v>Eval peak GPU GB</x:v>
      </x:c>
      <x:c r="G73" s="22" t="str">
        <x:v>Avg sec/case</x:v>
      </x:c>
      <x:c r="H73" s="22" t="str">
        <x:v>Test cases</x:v>
      </x:c>
      <x:c r="I73" s="21"/>
      <x:c r="J73" s="22" t="str">
        <x:v>Model</x:v>
      </x:c>
      <x:c r="K73" s="22" t="str">
        <x:v>Avg sec/case</x:v>
      </x:c>
      <x:c r="L73" s="22" t="str">
        <x:v>Eval peak GPU GB</x:v>
      </x:c>
      <x:c r="M73" s="21"/>
      <x:c r="N73" s="21"/>
      <x:c r="O73" s="21"/>
      <x:c r="P73" s="21"/>
      <x:c r="Q73" s="21"/>
      <x:c r="R73" s="21"/>
      <x:c r="S73" s="21"/>
      <x:c r="T73" s="21"/>
    </x:row>
    <x:row r="74">
      <x:c r="A74" s="21" t="str">
        <x:v>Vanilla BF16</x:v>
      </x:c>
      <x:c r="B74" s="21" t="str">
        <x:v>None</x:v>
      </x:c>
      <x:c r="C74" s="28" t="n">
        <x:v>0</x:v>
      </x:c>
      <x:c r="D74" s="24"/>
      <x:c r="E74" s="24"/>
      <x:c r="F74" s="24" t="n">
        <x:v>9.073942528</x:v>
      </x:c>
      <x:c r="G74" s="24" t="n">
        <x:v>7.392904761904763</x:v>
      </x:c>
      <x:c r="H74" s="21" t="n">
        <x:v>210</x:v>
      </x:c>
      <x:c r="I74" s="21"/>
      <x:c r="J74" s="21" t="str">
        <x:v>Vanilla BF16</x:v>
      </x:c>
      <x:c r="K74" s="24" t="n">
        <x:v>7.392904761904763</x:v>
      </x:c>
      <x:c r="L74" s="24" t="n">
        <x:v>9.073942528</x:v>
      </x:c>
      <x:c r="M74" s="21"/>
      <x:c r="N74" s="21"/>
      <x:c r="O74" s="21"/>
      <x:c r="P74" s="21"/>
      <x:c r="Q74" s="21"/>
      <x:c r="R74" s="21"/>
      <x:c r="S74" s="21"/>
      <x:c r="T74" s="21"/>
    </x:row>
    <x:row r="75">
      <x:c r="A75" s="21" t="str">
        <x:v>QLoRA NF4</x:v>
      </x:c>
      <x:c r="B75" s="21" t="str">
        <x:v>4-bit NF4</x:v>
      </x:c>
      <x:c r="C75" s="28" t="n">
        <x:v>11898880</x:v>
      </x:c>
      <x:c r="D75" s="24" t="n">
        <x:v>0.114522</x:v>
      </x:c>
      <x:c r="E75" s="24" t="n">
        <x:v>14.62776064</x:v>
      </x:c>
      <x:c r="F75" s="24" t="n">
        <x:v>5.935649792</x:v>
      </x:c>
      <x:c r="G75" s="24" t="n">
        <x:v>20.068985714285706</x:v>
      </x:c>
      <x:c r="H75" s="21" t="n">
        <x:v>210</x:v>
      </x:c>
      <x:c r="I75" s="21"/>
      <x:c r="J75" s="21" t="str">
        <x:v>QLoRA NF4</x:v>
      </x:c>
      <x:c r="K75" s="24" t="n">
        <x:v>20.068985714285706</x:v>
      </x:c>
      <x:c r="L75" s="24" t="n">
        <x:v>5.935649792</x:v>
      </x:c>
      <x:c r="M75" s="21"/>
      <x:c r="N75" s="21"/>
      <x:c r="O75" s="21"/>
      <x:c r="P75" s="21"/>
      <x:c r="Q75" s="21"/>
      <x:c r="R75" s="21"/>
      <x:c r="S75" s="21"/>
      <x:c r="T75" s="21"/>
    </x:row>
    <x:row r="76">
      <x:c r="A76" s="21" t="str">
        <x:v>LoRA BF16</x:v>
      </x:c>
      <x:c r="B76" s="21" t="str">
        <x:v>BF16</x:v>
      </x:c>
      <x:c r="C76" s="28" t="n">
        <x:v>11898880</x:v>
      </x:c>
      <x:c r="D76" s="24" t="n">
        <x:v>0.101491</x:v>
      </x:c>
      <x:c r="E76" s="24" t="n">
        <x:v>18.212201984</x:v>
      </x:c>
      <x:c r="F76" s="24" t="n">
        <x:v>9.110019072</x:v>
      </x:c>
      <x:c r="G76" s="24" t="n">
        <x:v>15.503547619047616</x:v>
      </x:c>
      <x:c r="H76" s="21" t="n">
        <x:v>210</x:v>
      </x:c>
      <x:c r="I76" s="21"/>
      <x:c r="J76" s="21" t="str">
        <x:v>LoRA BF16</x:v>
      </x:c>
      <x:c r="K76" s="24" t="n">
        <x:v>15.503547619047616</x:v>
      </x:c>
      <x:c r="L76" s="24" t="n">
        <x:v>9.110019072</x:v>
      </x:c>
      <x:c r="M76" s="21"/>
      <x:c r="N76" s="21"/>
      <x:c r="O76" s="21"/>
      <x:c r="P76" s="21"/>
      <x:c r="Q76" s="21"/>
      <x:c r="R76" s="21"/>
      <x:c r="S76" s="21"/>
      <x:c r="T76" s="21"/>
    </x:row>
    <x:row r="77">
      <x:c r="A77" s="29" t="str">
        <x:v>Shared setup</x:v>
      </x:c>
      <x:c r="B77" s="29" t="str">
        <x:v>Rank 16 · alpha 32 · q/k/v/o · one 840-example epoch · 28 optimizer updates</x:v>
      </x:c>
      <x:c r="C77" s="29"/>
      <x:c r="D77" s="29"/>
      <x:c r="E77" s="29"/>
      <x:c r="F77" s="29"/>
      <x:c r="G77" s="29"/>
      <x:c r="H77" s="29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</x:row>
    <x:row r="99">
      <x:c r="A99" s="22" t="str">
        <x:v>Safety model</x:v>
      </x:c>
      <x:c r="B99" s="22" t="str">
        <x:v>Schema valid</x:v>
      </x:c>
      <x:c r="C99" s="22" t="str">
        <x:v>Guard accepted</x:v>
      </x:c>
      <x:c r="D99" s="22" t="str">
        <x:v>Fallbacks</x:v>
      </x:c>
      <x:c r="E99" s="22" t="str">
        <x:v>Pass</x:v>
      </x:c>
      <x:c r="F99" s="22" t="str">
        <x:v>Needs review</x:v>
      </x:c>
      <x:c r="G99" s="22" t="str">
        <x:v>Fail</x:v>
      </x:c>
      <x:c r="H99" s="22" t="str">
        <x:v>Cases</x:v>
      </x:c>
      <x:c r="I99" s="21"/>
      <x:c r="J99" s="22" t="str">
        <x:v>Model</x:v>
      </x:c>
      <x:c r="K99" s="22" t="str">
        <x:v>Pass</x:v>
      </x:c>
      <x:c r="L99" s="22" t="str">
        <x:v>Needs review</x:v>
      </x:c>
      <x:c r="M99" s="22" t="str">
        <x:v>Fail</x:v>
      </x:c>
      <x:c r="N99" s="21"/>
      <x:c r="O99" s="21"/>
      <x:c r="P99" s="21"/>
      <x:c r="Q99" s="21"/>
      <x:c r="R99" s="21"/>
      <x:c r="S99" s="21"/>
      <x:c r="T99" s="21"/>
    </x:row>
    <x:row r="100">
      <x:c r="A100" s="21" t="str">
        <x:v>QLoRA NF4</x:v>
      </x:c>
      <x:c r="B100" s="21" t="n">
        <x:v>15</x:v>
      </x:c>
      <x:c r="C100" s="21" t="n">
        <x:v>14</x:v>
      </x:c>
      <x:c r="D100" s="21" t="n">
        <x:v>3</x:v>
      </x:c>
      <x:c r="E100" s="21" t="n">
        <x:v>11</x:v>
      </x:c>
      <x:c r="F100" s="21" t="n">
        <x:v>3</x:v>
      </x:c>
      <x:c r="G100" s="21" t="n">
        <x:v>3</x:v>
      </x:c>
      <x:c r="H100" s="21" t="n">
        <x:v>17</x:v>
      </x:c>
      <x:c r="I100" s="21"/>
      <x:c r="J100" s="21" t="str">
        <x:v>QLoRA NF4</x:v>
      </x:c>
      <x:c r="K100" s="21" t="n">
        <x:v>11</x:v>
      </x:c>
      <x:c r="L100" s="21" t="n">
        <x:v>3</x:v>
      </x:c>
      <x:c r="M100" s="21" t="n">
        <x:v>3</x:v>
      </x:c>
      <x:c r="N100" s="21"/>
      <x:c r="O100" s="21"/>
      <x:c r="P100" s="21"/>
      <x:c r="Q100" s="21"/>
      <x:c r="R100" s="21"/>
      <x:c r="S100" s="21"/>
      <x:c r="T100" s="21"/>
    </x:row>
    <x:row r="101">
      <x:c r="A101" s="21" t="str">
        <x:v>LoRA BF16</x:v>
      </x:c>
      <x:c r="B101" s="21" t="n">
        <x:v>17</x:v>
      </x:c>
      <x:c r="C101" s="21" t="n">
        <x:v>17</x:v>
      </x:c>
      <x:c r="D101" s="21" t="n">
        <x:v>0</x:v>
      </x:c>
      <x:c r="E101" s="21" t="n">
        <x:v>12</x:v>
      </x:c>
      <x:c r="F101" s="21" t="n">
        <x:v>5</x:v>
      </x:c>
      <x:c r="G101" s="21" t="n">
        <x:v>0</x:v>
      </x:c>
      <x:c r="H101" s="21" t="n">
        <x:v>17</x:v>
      </x:c>
      <x:c r="I101" s="21"/>
      <x:c r="J101" s="21" t="str">
        <x:v>LoRA BF16</x:v>
      </x:c>
      <x:c r="K101" s="21" t="n">
        <x:v>12</x:v>
      </x:c>
      <x:c r="L101" s="21" t="n">
        <x:v>5</x:v>
      </x:c>
      <x:c r="M101" s="21" t="n">
        <x:v>0</x:v>
      </x:c>
      <x:c r="N101" s="21"/>
      <x:c r="O101" s="21"/>
      <x:c r="P101" s="21"/>
      <x:c r="Q101" s="21"/>
      <x:c r="R101" s="21"/>
      <x:c r="S101" s="21"/>
      <x:c r="T101" s="21"/>
    </x:row>
    <x:row r="102">
      <x:c r="A102" s="26" t="str">
        <x:v>Conclusion</x:v>
      </x:c>
      <x:c r="B102" s="26" t="str">
        <x:v>LoRA</x:v>
      </x:c>
      <x:c r="C102" s="26" t="str">
        <x:v>17/17 guard</x:v>
      </x:c>
      <x:c r="D102" s="26" t="str">
        <x:v>0 fallbacks</x:v>
      </x:c>
      <x:c r="E102" s="26" t="str">
        <x:v>12 pass</x:v>
      </x:c>
      <x:c r="F102" s="26" t="str">
        <x:v>5 review</x:v>
      </x:c>
      <x:c r="G102" s="26" t="str">
        <x:v>0 fail</x:v>
      </x:c>
      <x:c r="H102" s="26" t="str">
        <x:v>stronger</x:v>
      </x:c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</x:row>
    <x:row r="123">
      <x:c r="A123" s="30" t="str">
        <x:v>Interpretation</x:v>
      </x:c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</x:row>
    <x:row r="124">
      <x:c r="A124" s="26" t="str">
        <x:v>Primary result</x:v>
      </x:c>
      <x:c r="B124" s="31" t="str">
        <x:v>LoRA is the strongest balanced candidate: 76.9% weighted useful and 16 failures, compared with QLoRA at 75.0% and 32 failures.</x:v>
      </x:c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</x:row>
    <x:row r="125">
      <x:c r="A125" s="26" t="str">
        <x:v>QLoRA trade-off</x:v>
      </x:c>
      <x:c r="B125" s="31" t="str">
        <x:v>QLoRA has the most strict passes (137) and lower memory use, but twice as many failures as LoRA.</x:v>
      </x:c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</x:row>
    <x:row r="126">
      <x:c r="A126" s="26" t="str">
        <x:v>Vanilla baseline</x:v>
      </x:c>
      <x:c r="B126" s="31" t="str">
        <x:v>Vanilla is fastest but usually produces generic or incomplete analysis. Its weighted useful score is 41.9%.</x:v>
      </x:c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</x:row>
    <x:row r="127">
      <x:c r="A127" s="26" t="str">
        <x:v>Safety suite</x:v>
      </x:c>
      <x:c r="B127" s="31" t="str">
        <x:v>LoRA produced 17/17 raw guard accepts and no semantic failures. QLoRA required three fallbacks and received three semantic failures.</x:v>
      </x:c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</x:row>
    <x:row r="128">
      <x:c r="A128" s="26" t="str">
        <x:v>Remaining LoRA issue</x:v>
      </x:c>
      <x:c r="B128" s="31" t="str">
        <x:v>Developing/null cases sometimes overstate repetition, while some supported cases are weakened into no-clear-pattern wording.</x:v>
      </x:c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</x:row>
    <x:row r="129">
      <x:c r="A129" s="26" t="str">
        <x:v>Method note</x:v>
      </x:c>
      <x:c r="B129" s="31" t="str">
        <x:v>Weighted useful = (pass + 0.5 × needs review) / 210. It is a descriptive benchmark, not clinical accuracy.</x:v>
      </x:c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</x:row>
    <x:row r="132">
      <x:c r="A132" s="22" t="str">
        <x:v>Model</x:v>
      </x:c>
      <x:c r="B132" s="22" t="str">
        <x:v>Hard guard</x:v>
      </x:c>
      <x:c r="C132" s="22" t="str">
        <x:v>Finding state</x:v>
      </x:c>
      <x:c r="D132" s="22" t="str">
        <x:v>Incomplete wording</x:v>
      </x:c>
      <x:c r="E132" s="22" t="str">
        <x:v>Other semantic</x:v>
      </x:c>
      <x:c r="F132" s="22" t="str">
        <x:v>Total non-pass</x:v>
      </x:c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</x:row>
    <x:row r="133">
      <x:c r="A133" s="21" t="str">
        <x:v>Vanilla BF16</x:v>
      </x:c>
      <x:c r="B133" s="21" t="n">
        <x:v>37</x:v>
      </x:c>
      <x:c r="C133" s="21" t="n">
        <x:v>0</x:v>
      </x:c>
      <x:c r="D133" s="21" t="n">
        <x:v>170</x:v>
      </x:c>
      <x:c r="E133" s="21" t="n">
        <x:v>0</x:v>
      </x:c>
      <x:c r="F133" s="21" t="n">
        <x:v>207</x:v>
      </x:c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</x:row>
    <x:row r="134">
      <x:c r="A134" s="21" t="str">
        <x:v>QLoRA NF4</x:v>
      </x:c>
      <x:c r="B134" s="21" t="n">
        <x:v>7</x:v>
      </x:c>
      <x:c r="C134" s="21" t="n">
        <x:v>22</x:v>
      </x:c>
      <x:c r="D134" s="21" t="n">
        <x:v>41</x:v>
      </x:c>
      <x:c r="E134" s="21" t="n">
        <x:v>3</x:v>
      </x:c>
      <x:c r="F134" s="21" t="n">
        <x:v>73</x:v>
      </x:c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</x:row>
    <x:row r="135">
      <x:c r="A135" s="21" t="str">
        <x:v>LoRA BF16</x:v>
      </x:c>
      <x:c r="B135" s="21" t="n">
        <x:v>7</x:v>
      </x:c>
      <x:c r="C135" s="21" t="n">
        <x:v>9</x:v>
      </x:c>
      <x:c r="D135" s="21" t="n">
        <x:v>65</x:v>
      </x:c>
      <x:c r="E135" s="21" t="n">
        <x:v>0</x:v>
      </x:c>
      <x:c r="F135" s="21" t="n">
        <x:v>81</x:v>
      </x:c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</x:row>
    <x:row r="152">
      <x:c r="A152" s="22" t="str">
        <x:v>Canonical context</x:v>
      </x:c>
      <x:c r="B152" s="22" t="str">
        <x:v>Vanilla (%)</x:v>
      </x:c>
      <x:c r="C152" s="22" t="str">
        <x:v>QLoRA (%)</x:v>
      </x:c>
      <x:c r="D152" s="22" t="str">
        <x:v>LoRA (%)</x:v>
      </x:c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</x:row>
    <x:row r="153">
      <x:c r="A153" s="21" t="str">
        <x:v>discord_game_session</x:v>
      </x:c>
      <x:c r="B153" s="25" t="n">
        <x:v>38.333333333333336</x:v>
      </x:c>
      <x:c r="C153" s="25" t="n">
        <x:v>71.66666666666667</x:v>
      </x:c>
      <x:c r="D153" s="25" t="n">
        <x:v>66.66666666666666</x:v>
      </x:c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</x:row>
    <x:row r="154">
      <x:c r="A154" s="21" t="str">
        <x:v>food_beverage_log</x:v>
      </x:c>
      <x:c r="B154" s="25" t="n">
        <x:v>38.333333333333336</x:v>
      </x:c>
      <x:c r="C154" s="25" t="n">
        <x:v>88.33333333333333</x:v>
      </x:c>
      <x:c r="D154" s="25" t="n">
        <x:v>80</x:v>
      </x:c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</x:row>
    <x:row r="155">
      <x:c r="A155" s="21" t="str">
        <x:v>manual_journal</x:v>
      </x:c>
      <x:c r="B155" s="25" t="n">
        <x:v>33.33333333333333</x:v>
      </x:c>
      <x:c r="C155" s="25" t="n">
        <x:v>78.33333333333333</x:v>
      </x:c>
      <x:c r="D155" s="25" t="n">
        <x:v>73.33333333333333</x:v>
      </x:c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</x:row>
    <x:row r="156">
      <x:c r="A156" s="21" t="str">
        <x:v>phone_call</x:v>
      </x:c>
      <x:c r="B156" s="25" t="n">
        <x:v>46.666666666666664</x:v>
      </x:c>
      <x:c r="C156" s="25" t="n">
        <x:v>68.33333333333333</x:v>
      </x:c>
      <x:c r="D156" s="25" t="n">
        <x:v>75</x:v>
      </x:c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</x:row>
    <x:row r="157">
      <x:c r="A157" s="21" t="str">
        <x:v>recurring_meeting</x:v>
      </x:c>
      <x:c r="B157" s="25" t="n">
        <x:v>48.333333333333336</x:v>
      </x:c>
      <x:c r="C157" s="25" t="n">
        <x:v>73.33333333333333</x:v>
      </x:c>
      <x:c r="D157" s="25" t="n">
        <x:v>85</x:v>
      </x:c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</x:row>
    <x:row r="158">
      <x:c r="A158" s="21" t="str">
        <x:v>screen_time</x:v>
      </x:c>
      <x:c r="B158" s="25" t="n">
        <x:v>45</x:v>
      </x:c>
      <x:c r="C158" s="25" t="n">
        <x:v>75</x:v>
      </x:c>
      <x:c r="D158" s="25" t="n">
        <x:v>81.66666666666667</x:v>
      </x:c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</x:row>
    <x:row r="159">
      <x:c r="A159" s="21" t="str">
        <x:v>spotify_listening</x:v>
      </x:c>
      <x:c r="B159" s="25" t="n">
        <x:v>43.333333333333336</x:v>
      </x:c>
      <x:c r="C159" s="25" t="n">
        <x:v>70</x:v>
      </x:c>
      <x:c r="D159" s="25" t="n">
        <x:v>76.66666666666667</x:v>
      </x:c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</x:row>
  </x:sheetData>
  <x:mergeCells>
    <x:mergeCell ref="A2:T2"/>
    <x:mergeCell ref="A3:T3"/>
    <x:mergeCell ref="A123:T123"/>
    <x:mergeCell ref="B124:T124"/>
    <x:mergeCell ref="B125:T125"/>
    <x:mergeCell ref="B126:T126"/>
    <x:mergeCell ref="B127:T127"/>
    <x:mergeCell ref="B128:T128"/>
    <x:mergeCell ref="B129:T129"/>
  </x:mergeCells>
  <x:pageMargins left="0.7" right="0.7" top="0.75" bottom="0.75" header="0.3" footer="0.3"/>
  <x:drawing xmlns:r="http://schemas.openxmlformats.org/officeDocument/2006/relationships" r:id="R05b29552d1b94aa3"/>
</x:worksheet>
</file>